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2"/>
  <workbookPr/>
  <mc:AlternateContent xmlns:mc="http://schemas.openxmlformats.org/markup-compatibility/2006">
    <mc:Choice Requires="x15">
      <x15ac:absPath xmlns:x15ac="http://schemas.microsoft.com/office/spreadsheetml/2010/11/ac" url="G:\My Drive\OMSCS\2021 Fall\Simulation - ISYE 6644\Project\"/>
    </mc:Choice>
  </mc:AlternateContent>
  <xr:revisionPtr revIDLastSave="1" documentId="11_80AACC9C44FF4661CA3B848898CCA0D143CF846A" xr6:coauthVersionLast="47" xr6:coauthVersionMax="47" xr10:uidLastSave="{7EFA0440-9D31-40D2-B2DC-3161DCE58D75}"/>
  <bookViews>
    <workbookView xWindow="0" yWindow="0" windowWidth="17256" windowHeight="58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1" l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E2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G2" i="1" l="1"/>
  <c r="H2" i="1" s="1"/>
  <c r="G3" i="1"/>
  <c r="H3" i="1" s="1"/>
  <c r="G4" i="1"/>
  <c r="H4" i="1" s="1"/>
  <c r="I4" i="1" s="1"/>
  <c r="G5" i="1"/>
  <c r="H5" i="1" s="1"/>
  <c r="I5" i="1" s="1"/>
  <c r="G6" i="1"/>
  <c r="H6" i="1" s="1"/>
  <c r="I6" i="1" s="1"/>
  <c r="G7" i="1"/>
  <c r="H7" i="1" s="1"/>
  <c r="G8" i="1"/>
  <c r="H8" i="1" s="1"/>
  <c r="I8" i="1" s="1"/>
  <c r="G9" i="1"/>
  <c r="H9" i="1" s="1"/>
  <c r="I9" i="1" s="1"/>
  <c r="G10" i="1"/>
  <c r="H10" i="1" s="1"/>
  <c r="I10" i="1" s="1"/>
  <c r="G11" i="1"/>
  <c r="H11" i="1" s="1"/>
  <c r="G12" i="1"/>
  <c r="H12" i="1" s="1"/>
  <c r="I12" i="1" s="1"/>
  <c r="G13" i="1"/>
  <c r="H13" i="1" s="1"/>
  <c r="I13" i="1" s="1"/>
  <c r="G14" i="1"/>
  <c r="H14" i="1" s="1"/>
  <c r="I14" i="1" s="1"/>
  <c r="G15" i="1"/>
  <c r="H15" i="1" s="1"/>
  <c r="G16" i="1"/>
  <c r="H16" i="1" s="1"/>
  <c r="I16" i="1" s="1"/>
  <c r="G17" i="1"/>
  <c r="H17" i="1" s="1"/>
  <c r="I17" i="1" s="1"/>
  <c r="G18" i="1"/>
  <c r="H18" i="1" s="1"/>
  <c r="I18" i="1" s="1"/>
  <c r="G19" i="1"/>
  <c r="H19" i="1" s="1"/>
  <c r="G20" i="1"/>
  <c r="H20" i="1" s="1"/>
  <c r="I20" i="1" s="1"/>
  <c r="G21" i="1"/>
  <c r="H21" i="1" s="1"/>
  <c r="I21" i="1" s="1"/>
  <c r="I19" i="1"/>
  <c r="I15" i="1"/>
  <c r="I11" i="1"/>
  <c r="I7" i="1"/>
  <c r="I3" i="1"/>
  <c r="I2" i="1"/>
  <c r="I24" i="1" l="1"/>
</calcChain>
</file>

<file path=xl/sharedStrings.xml><?xml version="1.0" encoding="utf-8"?>
<sst xmlns="http://schemas.openxmlformats.org/spreadsheetml/2006/main" count="13" uniqueCount="11">
  <si>
    <t>p_infection</t>
  </si>
  <si>
    <t># infected kids D1</t>
  </si>
  <si>
    <t># uninfected kids D1</t>
  </si>
  <si>
    <t># kids infected D1</t>
  </si>
  <si>
    <t>chance of that # kids infected on D1</t>
  </si>
  <si>
    <t>total infected @ start of D2</t>
  </si>
  <si>
    <t>p for each healthy kid infected D2</t>
  </si>
  <si>
    <t>E[# additional kids infected D2 | # from D1]</t>
  </si>
  <si>
    <t>weighted E[…]</t>
  </si>
  <si>
    <t>---</t>
  </si>
  <si>
    <t>Expected # kids infected on D2: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</si>
</sst>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B1" workbookViewId="0">
      <selection activeCell="I9" sqref="I9"/>
    </sheetView>
  </sheetViews>
  <sheetFormatPr defaultRowHeight="14.45"/>
  <cols>
    <col min="1" max="1" width="10.5703125" bestFit="1" customWidth="1"/>
    <col min="2" max="2" width="15.85546875" bestFit="1" customWidth="1"/>
    <col min="3" max="3" width="18.28515625" bestFit="1" customWidth="1"/>
    <col min="4" max="4" width="15.85546875" bestFit="1" customWidth="1"/>
    <col min="5" max="5" width="31.5703125" bestFit="1" customWidth="1"/>
    <col min="6" max="6" width="23.85546875" bestFit="1" customWidth="1"/>
    <col min="7" max="7" width="29.7109375" bestFit="1" customWidth="1"/>
    <col min="8" max="8" width="37.85546875" bestFit="1" customWidth="1"/>
    <col min="9" max="9" width="21.85546875" customWidth="1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0.02</v>
      </c>
      <c r="B2">
        <v>1</v>
      </c>
      <c r="C2">
        <v>20</v>
      </c>
      <c r="D2">
        <v>0</v>
      </c>
      <c r="E2">
        <f>_xlfn.BINOM.DIST(D2,C2,A2,FALSE)</f>
        <v>0.66760797175509456</v>
      </c>
      <c r="F2">
        <f>B2+D2</f>
        <v>1</v>
      </c>
      <c r="G2">
        <f>1-POWER(1-A2,F2)</f>
        <v>2.0000000000000018E-2</v>
      </c>
      <c r="H2">
        <f>(B2+C2-F2)*G2</f>
        <v>0.40000000000000036</v>
      </c>
      <c r="I2">
        <f>H2*E2</f>
        <v>0.26704318870203808</v>
      </c>
    </row>
    <row r="3" spans="1:9">
      <c r="A3">
        <v>0.02</v>
      </c>
      <c r="B3">
        <v>1</v>
      </c>
      <c r="C3">
        <v>20</v>
      </c>
      <c r="D3">
        <v>1</v>
      </c>
      <c r="E3">
        <f t="shared" ref="E3:E22" si="0">_xlfn.BINOM.DIST(D3,C3,A3,FALSE)</f>
        <v>0.27249304969595689</v>
      </c>
      <c r="F3">
        <f t="shared" ref="F3:F22" si="1">B3+D3</f>
        <v>2</v>
      </c>
      <c r="G3">
        <f t="shared" ref="G3:G22" si="2">1-POWER(1-A3,F3)</f>
        <v>3.960000000000008E-2</v>
      </c>
      <c r="H3">
        <f t="shared" ref="H3:H21" si="3">(B3+C3-F3)*G3</f>
        <v>0.75240000000000151</v>
      </c>
      <c r="I3">
        <f t="shared" ref="I3:I22" si="4">H3*E3</f>
        <v>0.20502377059123839</v>
      </c>
    </row>
    <row r="4" spans="1:9">
      <c r="A4">
        <v>0.02</v>
      </c>
      <c r="B4">
        <v>1</v>
      </c>
      <c r="C4">
        <v>20</v>
      </c>
      <c r="D4">
        <v>2</v>
      </c>
      <c r="E4">
        <f t="shared" si="0"/>
        <v>5.2830285145134527E-2</v>
      </c>
      <c r="F4">
        <f t="shared" si="1"/>
        <v>3</v>
      </c>
      <c r="G4">
        <f t="shared" si="2"/>
        <v>5.8808000000000082E-2</v>
      </c>
      <c r="H4">
        <f t="shared" si="3"/>
        <v>1.0585440000000015</v>
      </c>
      <c r="I4">
        <f t="shared" si="4"/>
        <v>5.5923181358671359E-2</v>
      </c>
    </row>
    <row r="5" spans="1:9">
      <c r="A5">
        <v>0.02</v>
      </c>
      <c r="B5">
        <v>1</v>
      </c>
      <c r="C5">
        <v>20</v>
      </c>
      <c r="D5">
        <v>3</v>
      </c>
      <c r="E5">
        <f t="shared" si="0"/>
        <v>6.4690145075674971E-3</v>
      </c>
      <c r="F5">
        <f t="shared" si="1"/>
        <v>4</v>
      </c>
      <c r="G5">
        <f t="shared" si="2"/>
        <v>7.7631840000000119E-2</v>
      </c>
      <c r="H5">
        <f t="shared" si="3"/>
        <v>1.3197412800000019</v>
      </c>
      <c r="I5">
        <f t="shared" si="4"/>
        <v>8.5374254865557102E-3</v>
      </c>
    </row>
    <row r="6" spans="1:9">
      <c r="A6">
        <v>0.02</v>
      </c>
      <c r="B6">
        <v>1</v>
      </c>
      <c r="C6">
        <v>20</v>
      </c>
      <c r="D6">
        <v>4</v>
      </c>
      <c r="E6">
        <f t="shared" si="0"/>
        <v>5.6108799300330181E-4</v>
      </c>
      <c r="F6">
        <f t="shared" si="1"/>
        <v>5</v>
      </c>
      <c r="G6">
        <f t="shared" si="2"/>
        <v>9.6079203200000185E-2</v>
      </c>
      <c r="H6">
        <f t="shared" si="3"/>
        <v>1.537267251200003</v>
      </c>
      <c r="I6">
        <f t="shared" si="4"/>
        <v>8.6254219668551227E-4</v>
      </c>
    </row>
    <row r="7" spans="1:9">
      <c r="A7">
        <v>0.02</v>
      </c>
      <c r="B7">
        <v>1</v>
      </c>
      <c r="C7">
        <v>20</v>
      </c>
      <c r="D7">
        <v>5</v>
      </c>
      <c r="E7">
        <f t="shared" si="0"/>
        <v>3.6642481175725877E-5</v>
      </c>
      <c r="F7">
        <f t="shared" si="1"/>
        <v>6</v>
      </c>
      <c r="G7">
        <f t="shared" si="2"/>
        <v>0.1141576191360002</v>
      </c>
      <c r="H7">
        <f t="shared" si="3"/>
        <v>1.7123642870400029</v>
      </c>
      <c r="I7">
        <f t="shared" si="4"/>
        <v>6.2745276153848564E-5</v>
      </c>
    </row>
    <row r="8" spans="1:9">
      <c r="A8">
        <v>0.02</v>
      </c>
      <c r="B8">
        <v>1</v>
      </c>
      <c r="C8">
        <v>20</v>
      </c>
      <c r="D8">
        <v>6</v>
      </c>
      <c r="E8">
        <f t="shared" si="0"/>
        <v>1.8695143457002977E-6</v>
      </c>
      <c r="F8">
        <f t="shared" si="1"/>
        <v>7</v>
      </c>
      <c r="G8">
        <f t="shared" si="2"/>
        <v>0.13187446675328018</v>
      </c>
      <c r="H8">
        <f t="shared" si="3"/>
        <v>1.8462425345459226</v>
      </c>
      <c r="I8">
        <f t="shared" si="4"/>
        <v>3.4515769039756798E-6</v>
      </c>
    </row>
    <row r="9" spans="1:9">
      <c r="A9">
        <v>0.02</v>
      </c>
      <c r="B9">
        <v>1</v>
      </c>
      <c r="C9">
        <v>20</v>
      </c>
      <c r="D9">
        <v>7</v>
      </c>
      <c r="E9">
        <f t="shared" si="0"/>
        <v>7.6306707987767159E-8</v>
      </c>
      <c r="F9">
        <f t="shared" si="1"/>
        <v>8</v>
      </c>
      <c r="G9">
        <f t="shared" si="2"/>
        <v>0.14923697741821462</v>
      </c>
      <c r="H9">
        <f t="shared" si="3"/>
        <v>1.94008070643679</v>
      </c>
      <c r="I9">
        <f t="shared" si="4"/>
        <v>1.4804117193877316E-7</v>
      </c>
    </row>
    <row r="10" spans="1:9">
      <c r="A10">
        <v>0.02</v>
      </c>
      <c r="B10">
        <v>1</v>
      </c>
      <c r="C10">
        <v>20</v>
      </c>
      <c r="D10">
        <v>8</v>
      </c>
      <c r="E10">
        <f t="shared" si="0"/>
        <v>2.5305796016351351E-9</v>
      </c>
      <c r="F10">
        <f t="shared" si="1"/>
        <v>9</v>
      </c>
      <c r="G10">
        <f t="shared" si="2"/>
        <v>0.16625223786985033</v>
      </c>
      <c r="H10">
        <f t="shared" si="3"/>
        <v>1.9950268544382039</v>
      </c>
      <c r="I10">
        <f t="shared" si="4"/>
        <v>5.0485742625556266E-9</v>
      </c>
    </row>
    <row r="11" spans="1:9">
      <c r="A11">
        <v>0.02</v>
      </c>
      <c r="B11">
        <v>1</v>
      </c>
      <c r="C11">
        <v>20</v>
      </c>
      <c r="D11">
        <v>9</v>
      </c>
      <c r="E11">
        <f t="shared" si="0"/>
        <v>6.8859308888031194E-11</v>
      </c>
      <c r="F11">
        <f t="shared" si="1"/>
        <v>10</v>
      </c>
      <c r="G11">
        <f t="shared" si="2"/>
        <v>0.18292719311245342</v>
      </c>
      <c r="H11">
        <f t="shared" si="3"/>
        <v>2.0121991242369877</v>
      </c>
      <c r="I11">
        <f t="shared" si="4"/>
        <v>1.3855864104006058E-10</v>
      </c>
    </row>
    <row r="12" spans="1:9">
      <c r="A12">
        <v>0.02</v>
      </c>
      <c r="B12">
        <v>1</v>
      </c>
      <c r="C12">
        <v>20</v>
      </c>
      <c r="D12">
        <v>10</v>
      </c>
      <c r="E12">
        <f t="shared" si="0"/>
        <v>1.5458212199353988E-12</v>
      </c>
      <c r="F12">
        <f t="shared" si="1"/>
        <v>11</v>
      </c>
      <c r="G12">
        <f t="shared" si="2"/>
        <v>0.19926864925020438</v>
      </c>
      <c r="H12">
        <f t="shared" si="3"/>
        <v>1.9926864925020438</v>
      </c>
      <c r="I12">
        <f t="shared" si="4"/>
        <v>3.0803370647882999E-12</v>
      </c>
    </row>
    <row r="13" spans="1:9">
      <c r="A13">
        <v>0.02</v>
      </c>
      <c r="B13">
        <v>1</v>
      </c>
      <c r="C13">
        <v>20</v>
      </c>
      <c r="D13">
        <v>11</v>
      </c>
      <c r="E13">
        <f t="shared" si="0"/>
        <v>2.8679428941287442E-14</v>
      </c>
      <c r="F13">
        <f t="shared" si="1"/>
        <v>12</v>
      </c>
      <c r="G13">
        <f t="shared" si="2"/>
        <v>0.21528327626520027</v>
      </c>
      <c r="H13">
        <f t="shared" si="3"/>
        <v>1.9375494863868026</v>
      </c>
      <c r="I13">
        <f t="shared" si="4"/>
        <v>5.5567812815058288E-14</v>
      </c>
    </row>
    <row r="14" spans="1:9">
      <c r="A14">
        <v>0.02</v>
      </c>
      <c r="B14">
        <v>1</v>
      </c>
      <c r="C14">
        <v>20</v>
      </c>
      <c r="D14">
        <v>12</v>
      </c>
      <c r="E14">
        <f t="shared" si="0"/>
        <v>4.3897085114215567E-16</v>
      </c>
      <c r="F14">
        <f t="shared" si="1"/>
        <v>13</v>
      </c>
      <c r="G14">
        <f t="shared" si="2"/>
        <v>0.23097761073989631</v>
      </c>
      <c r="H14">
        <f t="shared" si="3"/>
        <v>1.8478208859191705</v>
      </c>
      <c r="I14">
        <f t="shared" si="4"/>
        <v>8.1113950705019042E-16</v>
      </c>
    </row>
    <row r="15" spans="1:9">
      <c r="A15">
        <v>0.02</v>
      </c>
      <c r="B15">
        <v>1</v>
      </c>
      <c r="C15">
        <v>20</v>
      </c>
      <c r="D15">
        <v>13</v>
      </c>
      <c r="E15">
        <f t="shared" si="0"/>
        <v>5.5129777223504217E-18</v>
      </c>
      <c r="F15">
        <f t="shared" si="1"/>
        <v>14</v>
      </c>
      <c r="G15">
        <f t="shared" si="2"/>
        <v>0.2463580585250984</v>
      </c>
      <c r="H15">
        <f t="shared" si="3"/>
        <v>1.7245064096756888</v>
      </c>
      <c r="I15">
        <f t="shared" si="4"/>
        <v>9.5071654185925826E-18</v>
      </c>
    </row>
    <row r="16" spans="1:9">
      <c r="A16">
        <v>0.02</v>
      </c>
      <c r="B16">
        <v>1</v>
      </c>
      <c r="C16">
        <v>20</v>
      </c>
      <c r="D16">
        <v>14</v>
      </c>
      <c r="E16">
        <f t="shared" si="0"/>
        <v>5.6254874717861789E-20</v>
      </c>
      <c r="F16">
        <f t="shared" si="1"/>
        <v>15</v>
      </c>
      <c r="G16">
        <f t="shared" si="2"/>
        <v>0.26143089735459646</v>
      </c>
      <c r="H16">
        <f t="shared" si="3"/>
        <v>1.5685853841275788</v>
      </c>
      <c r="I16">
        <f t="shared" si="4"/>
        <v>8.824057426836605E-20</v>
      </c>
    </row>
    <row r="17" spans="1:9">
      <c r="A17">
        <v>0.02</v>
      </c>
      <c r="B17">
        <v>1</v>
      </c>
      <c r="C17">
        <v>20</v>
      </c>
      <c r="D17">
        <v>15</v>
      </c>
      <c r="E17">
        <f t="shared" si="0"/>
        <v>4.5922346708458861E-22</v>
      </c>
      <c r="F17">
        <f t="shared" si="1"/>
        <v>16</v>
      </c>
      <c r="G17">
        <f t="shared" si="2"/>
        <v>0.27620227940750453</v>
      </c>
      <c r="H17">
        <f t="shared" si="3"/>
        <v>1.3810113970375226</v>
      </c>
      <c r="I17">
        <f t="shared" si="4"/>
        <v>6.3419284183090255E-22</v>
      </c>
    </row>
    <row r="18" spans="1:9">
      <c r="A18">
        <v>0.02</v>
      </c>
      <c r="B18">
        <v>1</v>
      </c>
      <c r="C18">
        <v>20</v>
      </c>
      <c r="D18">
        <v>16</v>
      </c>
      <c r="E18">
        <f t="shared" si="0"/>
        <v>2.9287210911006588E-24</v>
      </c>
      <c r="F18">
        <f t="shared" si="1"/>
        <v>17</v>
      </c>
      <c r="G18">
        <f t="shared" si="2"/>
        <v>0.29067823381935443</v>
      </c>
      <c r="H18">
        <f t="shared" si="3"/>
        <v>1.1627129352774177</v>
      </c>
      <c r="I18">
        <f t="shared" si="4"/>
        <v>3.4052618964425285E-24</v>
      </c>
    </row>
    <row r="19" spans="1:9">
      <c r="A19">
        <v>0.02</v>
      </c>
      <c r="B19">
        <v>1</v>
      </c>
      <c r="C19">
        <v>20</v>
      </c>
      <c r="D19">
        <v>17</v>
      </c>
      <c r="E19">
        <f t="shared" si="0"/>
        <v>1.4063486631935917E-26</v>
      </c>
      <c r="F19">
        <f t="shared" si="1"/>
        <v>18</v>
      </c>
      <c r="G19">
        <f t="shared" si="2"/>
        <v>0.30486466914296739</v>
      </c>
      <c r="H19">
        <f t="shared" si="3"/>
        <v>0.91459400742890218</v>
      </c>
      <c r="I19">
        <f t="shared" si="4"/>
        <v>1.2862380597125065E-26</v>
      </c>
    </row>
    <row r="20" spans="1:9">
      <c r="A20">
        <v>0.02</v>
      </c>
      <c r="B20">
        <v>1</v>
      </c>
      <c r="C20">
        <v>20</v>
      </c>
      <c r="D20">
        <v>18</v>
      </c>
      <c r="E20">
        <f t="shared" si="0"/>
        <v>4.7834988544000219E-29</v>
      </c>
      <c r="F20">
        <f t="shared" si="1"/>
        <v>19</v>
      </c>
      <c r="G20">
        <f t="shared" si="2"/>
        <v>0.31876737576010805</v>
      </c>
      <c r="H20">
        <f t="shared" si="3"/>
        <v>0.6375347515202161</v>
      </c>
      <c r="I20">
        <f t="shared" si="4"/>
        <v>3.0496467535371561E-29</v>
      </c>
    </row>
    <row r="21" spans="1:9">
      <c r="A21">
        <v>0.02</v>
      </c>
      <c r="B21">
        <v>1</v>
      </c>
      <c r="C21">
        <v>20</v>
      </c>
      <c r="D21">
        <v>19</v>
      </c>
      <c r="E21">
        <f t="shared" si="0"/>
        <v>1.0276044800000058E-31</v>
      </c>
      <c r="F21">
        <f t="shared" si="1"/>
        <v>20</v>
      </c>
      <c r="G21">
        <f t="shared" si="2"/>
        <v>0.33239202824490588</v>
      </c>
      <c r="H21">
        <f t="shared" si="3"/>
        <v>0.33239202824490588</v>
      </c>
      <c r="I21">
        <f t="shared" si="4"/>
        <v>3.4156753734075374E-32</v>
      </c>
    </row>
    <row r="22" spans="1:9">
      <c r="A22">
        <v>0.02</v>
      </c>
      <c r="B22">
        <v>1</v>
      </c>
      <c r="C22">
        <v>20</v>
      </c>
      <c r="D22">
        <v>20</v>
      </c>
      <c r="E22">
        <f t="shared" si="0"/>
        <v>1.0485760000000076E-34</v>
      </c>
      <c r="F22">
        <f t="shared" si="1"/>
        <v>21</v>
      </c>
      <c r="G22" s="2" t="s">
        <v>9</v>
      </c>
      <c r="H22" s="2" t="s">
        <v>9</v>
      </c>
      <c r="I22" s="2" t="s">
        <v>9</v>
      </c>
    </row>
    <row r="24" spans="1:9">
      <c r="H24" s="1" t="s">
        <v>10</v>
      </c>
      <c r="I24" s="1">
        <f>SUM(I2:I22)</f>
        <v>0.53745645841968825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FE4D05637F6546852B606756EFB319" ma:contentTypeVersion="8" ma:contentTypeDescription="Create a new document." ma:contentTypeScope="" ma:versionID="4dde5dc7f02588de5ebb31ff4082f0d3">
  <xsd:schema xmlns:xsd="http://www.w3.org/2001/XMLSchema" xmlns:xs="http://www.w3.org/2001/XMLSchema" xmlns:p="http://schemas.microsoft.com/office/2006/metadata/properties" xmlns:ns2="647b2d30-0b66-487f-952c-a2705114d825" targetNamespace="http://schemas.microsoft.com/office/2006/metadata/properties" ma:root="true" ma:fieldsID="627839170de5e61cf3b3dfda718af415" ns2:_="">
    <xsd:import namespace="647b2d30-0b66-487f-952c-a2705114d8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7b2d30-0b66-487f-952c-a2705114d8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88870E-C33C-4275-9914-BBDD329847FE}"/>
</file>

<file path=customXml/itemProps2.xml><?xml version="1.0" encoding="utf-8"?>
<ds:datastoreItem xmlns:ds="http://schemas.openxmlformats.org/officeDocument/2006/customXml" ds:itemID="{7FAE70D8-4EC2-42E6-9B95-C5F19FC4B7EC}"/>
</file>

<file path=customXml/itemProps3.xml><?xml version="1.0" encoding="utf-8"?>
<ds:datastoreItem xmlns:ds="http://schemas.openxmlformats.org/officeDocument/2006/customXml" ds:itemID="{F1F4396E-9A8F-477A-9908-9DB825FA9C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Blake French</dc:creator>
  <cp:keywords/>
  <dc:description/>
  <cp:lastModifiedBy>Kettunen, Teemu S</cp:lastModifiedBy>
  <cp:revision/>
  <dcterms:created xsi:type="dcterms:W3CDTF">2021-11-21T23:37:26Z</dcterms:created>
  <dcterms:modified xsi:type="dcterms:W3CDTF">2021-11-29T20:38:11Z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0x0101006BFE4D05637F6546852B606756EFB319</vt:lpwstr>
  </property>
</Properties>
</file>